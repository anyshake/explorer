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lorer.ori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<sst xmlns="http://schemas.openxmlformats.org/spreadsheetml/2006/main" count="408" uniqueCount="286">
  <si>
    <t xml:space="preserve">板卡数量</t>
  </si>
  <si>
    <t xml:space="preserve">无需采购</t>
  </si>
  <si>
    <t xml:space="preserve">已有</t>
  </si>
  <si>
    <t xml:space="preserve">需要采购</t>
  </si>
  <si>
    <t xml:space="preserve">Reference</t>
  </si>
  <si>
    <t xml:space="preserve">嘉立创编号</t>
  </si>
  <si>
    <t xml:space="preserve">采购数量</t>
  </si>
  <si>
    <t xml:space="preserve">Value</t>
  </si>
  <si>
    <t xml:space="preserve">Datasheet</t>
  </si>
  <si>
    <t xml:space="preserve">Footprint</t>
  </si>
  <si>
    <t xml:space="preserve">Qty</t>
  </si>
  <si>
    <t xml:space="preserve">DNP</t>
  </si>
  <si>
    <t xml:space="preserve">BT1</t>
  </si>
  <si>
    <t xml:space="preserve">C964817</t>
  </si>
  <si>
    <t xml:space="preserve">BAT+3V</t>
  </si>
  <si>
    <t xml:space="preserve">~</t>
  </si>
  <si>
    <t xml:space="preserve">Battery:BatteryHolder_LINX_BAT-HLD-012-SMT</t>
  </si>
  <si>
    <t xml:space="preserve">C1,C6</t>
  </si>
  <si>
    <t xml:space="preserve">C568913</t>
  </si>
  <si>
    <t xml:space="preserve">100uF</t>
  </si>
  <si>
    <t xml:space="preserve">Capacitor_Tantalum_SMD:CP_EIA-3528-12_Kemet-T</t>
  </si>
  <si>
    <t xml:space="preserve">C2</t>
  </si>
  <si>
    <t xml:space="preserve">C1595</t>
  </si>
  <si>
    <t xml:space="preserve">1500pF</t>
  </si>
  <si>
    <t xml:space="preserve">Capacitor_SMD:C_0603_1608Metric</t>
  </si>
  <si>
    <t xml:space="preserve">C3,C8,C9,C14,C59,C65</t>
  </si>
  <si>
    <t xml:space="preserve">C128770</t>
  </si>
  <si>
    <t xml:space="preserve">1uF</t>
  </si>
  <si>
    <t xml:space="preserve">C4,C7,C10,C11,C12,C15,C17,C18,C20,C21,C23,C25,C26,C29,C30,C31,C32,C33,C34,C35,C36,C37,C38,C39,C40,C41,C42,C43,C44,C45,C46,C47,C48,C49,C50,C51,C52,C53,C54,C55,C56,C57,C58,C61,C62,C66</t>
  </si>
  <si>
    <t xml:space="preserve">C701321</t>
  </si>
  <si>
    <t xml:space="preserve">0.1uF</t>
  </si>
  <si>
    <t xml:space="preserve">C5,C13,C19</t>
  </si>
  <si>
    <t xml:space="preserve">C122226</t>
  </si>
  <si>
    <t xml:space="preserve">22uF</t>
  </si>
  <si>
    <t xml:space="preserve">C16</t>
  </si>
  <si>
    <t xml:space="preserve">C123255</t>
  </si>
  <si>
    <t xml:space="preserve">10uF</t>
  </si>
  <si>
    <t xml:space="preserve">C22,C24</t>
  </si>
  <si>
    <t xml:space="preserve">C7503509</t>
  </si>
  <si>
    <t xml:space="preserve">100pF</t>
  </si>
  <si>
    <t xml:space="preserve">C27,C28</t>
  </si>
  <si>
    <t xml:space="preserve">C105620</t>
  </si>
  <si>
    <t xml:space="preserve">22pF</t>
  </si>
  <si>
    <t xml:space="preserve">C60</t>
  </si>
  <si>
    <t xml:space="preserve">C696859</t>
  </si>
  <si>
    <t xml:space="preserve">4700pF</t>
  </si>
  <si>
    <t xml:space="preserve">C63,C64</t>
  </si>
  <si>
    <t xml:space="preserve">C363551</t>
  </si>
  <si>
    <t xml:space="preserve">33pF</t>
  </si>
  <si>
    <t xml:space="preserve">D1,D2,D3,D7</t>
  </si>
  <si>
    <t xml:space="preserve">C19103824</t>
  </si>
  <si>
    <t xml:space="preserve">SS34</t>
  </si>
  <si>
    <t xml:space="preserve">https://www.vishay.com/docs/88751/ss32.pdf</t>
  </si>
  <si>
    <t xml:space="preserve">Diode_SMD:D_SMA</t>
  </si>
  <si>
    <t xml:space="preserve">D4,D5,D6,D9,D10,D11,D23</t>
  </si>
  <si>
    <t xml:space="preserve">C965799</t>
  </si>
  <si>
    <t xml:space="preserve">LED</t>
  </si>
  <si>
    <t xml:space="preserve">LED_SMD:LED_0603_1608Metric</t>
  </si>
  <si>
    <t xml:space="preserve">D8,D12,D13,D14</t>
  </si>
  <si>
    <t xml:space="preserve">C5119556</t>
  </si>
  <si>
    <t xml:space="preserve">1N4148W</t>
  </si>
  <si>
    <t xml:space="preserve">https://www.vishay.com/docs/85748/1n4148w.pdf</t>
  </si>
  <si>
    <t xml:space="preserve">Diode_SMD:D_SOD-123</t>
  </si>
  <si>
    <t xml:space="preserve">D15,D16,D17,D18,D19,D20,D21,D22,D24</t>
  </si>
  <si>
    <t xml:space="preserve">C316040</t>
  </si>
  <si>
    <t xml:space="preserve">ESD9B5.0ST5G</t>
  </si>
  <si>
    <t xml:space="preserve">https://www.onsemi.com/pub/Collateral/ESD9B-D.PDF</t>
  </si>
  <si>
    <t xml:space="preserve">Diode_SMD:D_SOD-923</t>
  </si>
  <si>
    <t xml:space="preserve">J1</t>
  </si>
  <si>
    <t xml:space="preserve">淘宝搜索 KF301-2P</t>
  </si>
  <si>
    <t xml:space="preserve">DC_IN</t>
  </si>
  <si>
    <t xml:space="preserve">TerminalBlock:TerminalBlock_bornier-2_P5.08mm</t>
  </si>
  <si>
    <t xml:space="preserve">J2</t>
  </si>
  <si>
    <t xml:space="preserve">淘宝搜索 2.54 单排直插针 </t>
  </si>
  <si>
    <t xml:space="preserve">BOOT</t>
  </si>
  <si>
    <t xml:space="preserve">Connector_PinHeader_2.54mm:PinHeader_2x03_P2.54mm_Vertical</t>
  </si>
  <si>
    <t xml:space="preserve">J3</t>
  </si>
  <si>
    <t xml:space="preserve">淘宝搜索 KP301-2P</t>
  </si>
  <si>
    <t xml:space="preserve">RS485</t>
  </si>
  <si>
    <t xml:space="preserve">J4</t>
  </si>
  <si>
    <t xml:space="preserve">淘宝搜索 SMA 外螺内孔弯头</t>
  </si>
  <si>
    <t xml:space="preserve">SMA</t>
  </si>
  <si>
    <t xml:space="preserve">Connector_Coaxial:SMA_Amphenol_901-144_Vertical</t>
  </si>
  <si>
    <t xml:space="preserve">J5</t>
  </si>
  <si>
    <t xml:space="preserve">STLINK</t>
  </si>
  <si>
    <t xml:space="preserve">Connector_PinHeader_2.54mm:PinHeader_1x03_P2.54mm_Vertical</t>
  </si>
  <si>
    <t xml:space="preserve">J6</t>
  </si>
  <si>
    <t xml:space="preserve">TTL</t>
  </si>
  <si>
    <t xml:space="preserve">J7</t>
  </si>
  <si>
    <t xml:space="preserve">淘宝搜索 DB9 弯角母头</t>
  </si>
  <si>
    <t xml:space="preserve">RS232F</t>
  </si>
  <si>
    <t xml:space="preserve">Connector_Dsub:DSUB-9_Female_Horizontal_P2.77x2.84mm_EdgePinOffset4.94mm_Housed_MountingHolesOffset7.48mm</t>
  </si>
  <si>
    <t xml:space="preserve">J8</t>
  </si>
  <si>
    <t xml:space="preserve">淘宝搜索 DB9 弯角公头</t>
  </si>
  <si>
    <t xml:space="preserve">RS232M</t>
  </si>
  <si>
    <t xml:space="preserve">Connector_Dsub:DSUB-9_Male_Horizontal_P2.77x2.84mm_EdgePinOffset4.94mm_Housed_MountingHolesOffset7.48mm</t>
  </si>
  <si>
    <t xml:space="preserve">J9</t>
  </si>
  <si>
    <t xml:space="preserve">淘宝搜索 2.54 单排母 2P</t>
  </si>
  <si>
    <t xml:space="preserve">GEOPHONE_RES_Z</t>
  </si>
  <si>
    <t xml:space="preserve">Connector_PinSocket_2.54mm:PinSocket_1x02_P2.54mm_Vertical</t>
  </si>
  <si>
    <t xml:space="preserve">J10</t>
  </si>
  <si>
    <t xml:space="preserve">GEOPHONE_RES_E</t>
  </si>
  <si>
    <t xml:space="preserve">J11</t>
  </si>
  <si>
    <t xml:space="preserve">GEOPHONE_RES_N</t>
  </si>
  <si>
    <t xml:space="preserve">J12</t>
  </si>
  <si>
    <t xml:space="preserve">GEOPHONE_Z</t>
  </si>
  <si>
    <t xml:space="preserve">J13</t>
  </si>
  <si>
    <t xml:space="preserve">GEOPHONE_N</t>
  </si>
  <si>
    <t xml:space="preserve">J14</t>
  </si>
  <si>
    <t xml:space="preserve">GEOPHONE_E</t>
  </si>
  <si>
    <t xml:space="preserve">J15</t>
  </si>
  <si>
    <t xml:space="preserve">淘宝搜索 KP301-3P</t>
  </si>
  <si>
    <t xml:space="preserve">MASS_POSITION</t>
  </si>
  <si>
    <t xml:space="preserve">TerminalBlock:TerminalBlock_bornier-4_P5.08mm</t>
  </si>
  <si>
    <t xml:space="preserve">JP1</t>
  </si>
  <si>
    <t xml:space="preserve">淘宝搜索 2.54 跳线帽</t>
  </si>
  <si>
    <t xml:space="preserve">JUMPER_A+2V5</t>
  </si>
  <si>
    <t xml:space="preserve">Connector_PinHeader_2.54mm:PinHeader_1x02_P2.54mm_Vertical</t>
  </si>
  <si>
    <t xml:space="preserve">JP2</t>
  </si>
  <si>
    <t xml:space="preserve">JUMPER_A-2V5</t>
  </si>
  <si>
    <t xml:space="preserve">JP3</t>
  </si>
  <si>
    <t xml:space="preserve">JUMPER_D+3V3</t>
  </si>
  <si>
    <t xml:space="preserve">L1</t>
  </si>
  <si>
    <t xml:space="preserve">C394104 </t>
  </si>
  <si>
    <t xml:space="preserve">220uH</t>
  </si>
  <si>
    <t xml:space="preserve">Inductor_SMD:L_1210_3225Metric</t>
  </si>
  <si>
    <t xml:space="preserve">L2</t>
  </si>
  <si>
    <t xml:space="preserve">C963789</t>
  </si>
  <si>
    <t xml:space="preserve">1uH</t>
  </si>
  <si>
    <t xml:space="preserve">Inductor_SMD:L_0603_1608Metric</t>
  </si>
  <si>
    <t xml:space="preserve">L3</t>
  </si>
  <si>
    <t xml:space="preserve">C411951</t>
  </si>
  <si>
    <t xml:space="preserve">22uH</t>
  </si>
  <si>
    <t xml:space="preserve">R1</t>
  </si>
  <si>
    <t xml:space="preserve">C22356626</t>
  </si>
  <si>
    <t xml:space="preserve">Resistor_SMD:R_0603_1608Metric</t>
  </si>
  <si>
    <t xml:space="preserve">R2,R6,R9,R10,R22,R23,R24,R57,R58,R59,R66</t>
  </si>
  <si>
    <t xml:space="preserve">C22356624</t>
  </si>
  <si>
    <t xml:space="preserve">1k</t>
  </si>
  <si>
    <t xml:space="preserve">R3</t>
  </si>
  <si>
    <t xml:space="preserve">C247020</t>
  </si>
  <si>
    <t xml:space="preserve">R7,R8,R15,R17,R18,R47,R67</t>
  </si>
  <si>
    <t xml:space="preserve">C3017805</t>
  </si>
  <si>
    <t xml:space="preserve">R11,R14,R16,R19,R21,R25,R26,R27,R28,R29,R30,R31,R32,R33,R34,R35,R36,R37,R38,R39,R40,R41,R42,R43,R48,R50,R52,R60,R61,R62,R63,R64,R65</t>
  </si>
  <si>
    <t xml:space="preserve">C22369937</t>
  </si>
  <si>
    <t xml:space="preserve">10k</t>
  </si>
  <si>
    <t xml:space="preserve">R12,R13,R44,R45,R46</t>
  </si>
  <si>
    <t xml:space="preserve">C3152168</t>
  </si>
  <si>
    <t xml:space="preserve">4.7k</t>
  </si>
  <si>
    <t xml:space="preserve">R4,R5,R20</t>
  </si>
  <si>
    <t xml:space="preserve">C22369939</t>
  </si>
  <si>
    <t xml:space="preserve">R49,R51,R53</t>
  </si>
  <si>
    <t xml:space="preserve">C862232</t>
  </si>
  <si>
    <t xml:space="preserve">5k</t>
  </si>
  <si>
    <t xml:space="preserve">R54,R55,R56</t>
  </si>
  <si>
    <t xml:space="preserve">C3017708</t>
  </si>
  <si>
    <t xml:space="preserve">20k</t>
  </si>
  <si>
    <t xml:space="preserve">RV1,RV2,RV3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</si>
  <si>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3296w </t>
    </r>
    <r>
      <rPr>
        <sz val="10"/>
        <rFont val="Noto Sans CJK TC"/>
        <family val="2"/>
        <charset val="1"/>
      </rPr>
      <t xml:space="preserve">可调电阻 </t>
    </r>
    <r>
      <rPr>
        <sz val="10"/>
        <rFont val="Arial"/>
        <family val="2"/>
        <charset val="1"/>
      </rPr>
      <t xml:space="preserve">500k</t>
    </r>
  </si>
  <si>
    <t xml:space="preserve">500k</t>
  </si>
  <si>
    <t xml:space="preserve">Potentiometer_THT:Potentiometer_Bourns_3296W_Vertical</t>
  </si>
  <si>
    <t xml:space="preserve">RV4,RV5,RV6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</si>
  <si>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3296w </t>
    </r>
    <r>
      <rPr>
        <sz val="10"/>
        <rFont val="Noto Sans CJK TC"/>
        <family val="2"/>
        <charset val="1"/>
      </rPr>
      <t xml:space="preserve">可调电阻 </t>
    </r>
    <r>
      <rPr>
        <sz val="10"/>
        <rFont val="Arial"/>
        <family val="2"/>
        <charset val="1"/>
      </rPr>
      <t xml:space="preserve">100k</t>
    </r>
  </si>
  <si>
    <t xml:space="preserve">100k</t>
  </si>
  <si>
    <t xml:space="preserve">SW1</t>
  </si>
  <si>
    <t xml:space="preserve">淘宝搜索 按钮开关自锁 8*8</t>
  </si>
  <si>
    <t xml:space="preserve">SW_DPDT_x2</t>
  </si>
  <si>
    <t xml:space="preserve">Button_Switch_THT:SW_Push_2P2T_Toggle_CK_PVA2OAH5xxxxxxV2</t>
  </si>
  <si>
    <t xml:space="preserve">SW2</t>
  </si>
  <si>
    <t xml:space="preserve">淘宝搜索 轻触按钮 6*6</t>
  </si>
  <si>
    <t xml:space="preserve">RESET</t>
  </si>
  <si>
    <t xml:space="preserve">Button_Switch_THT:SW_PUSH_6mm</t>
  </si>
  <si>
    <t xml:space="preserve">SW3</t>
  </si>
  <si>
    <t xml:space="preserve">淘宝搜索 SMD 拨码开关 2 位</t>
  </si>
  <si>
    <t xml:space="preserve">SAMPLERATE</t>
  </si>
  <si>
    <t xml:space="preserve">Button_Switch_SMD:SW_DIP_SPSTx02_Slide_6.7x6.64mm_W8.61mm_P2.54mm_LowProfile</t>
  </si>
  <si>
    <t xml:space="preserve">SW4</t>
  </si>
  <si>
    <t xml:space="preserve">淘宝搜索 SMD 拨码开关 3 位</t>
  </si>
  <si>
    <t xml:space="preserve">OPTIONS</t>
  </si>
  <si>
    <t xml:space="preserve">Button_Switch_SMD:SW_DIP_SPSTx03_Slide_6.7x9.18mm_W8.61mm_P2.54mm_LowProfile</t>
  </si>
  <si>
    <t xml:space="preserve">SW5</t>
  </si>
  <si>
    <t xml:space="preserve">BAUDRATE</t>
  </si>
  <si>
    <t xml:space="preserve">TP1</t>
  </si>
  <si>
    <t xml:space="preserve">TP_-VCC</t>
  </si>
  <si>
    <t xml:space="preserve">TestPoint:TestPoint_Pad_D1.0mm</t>
  </si>
  <si>
    <t xml:space="preserve">TP2</t>
  </si>
  <si>
    <t xml:space="preserve">TP_A+2V5</t>
  </si>
  <si>
    <t xml:space="preserve">TP3</t>
  </si>
  <si>
    <t xml:space="preserve">TP_VCC</t>
  </si>
  <si>
    <t xml:space="preserve">TP4</t>
  </si>
  <si>
    <t xml:space="preserve">TP_A-2V5</t>
  </si>
  <si>
    <t xml:space="preserve">TP5</t>
  </si>
  <si>
    <t xml:space="preserve">TP_D+3V3</t>
  </si>
  <si>
    <t xml:space="preserve">TP6</t>
  </si>
  <si>
    <t xml:space="preserve">TP_PREAMP_ZP</t>
  </si>
  <si>
    <t xml:space="preserve">TP7</t>
  </si>
  <si>
    <t xml:space="preserve">TP_PREAMP_EP</t>
  </si>
  <si>
    <t xml:space="preserve">TP8</t>
  </si>
  <si>
    <t xml:space="preserve">TP_PREAMP_NP</t>
  </si>
  <si>
    <t xml:space="preserve">TP9</t>
  </si>
  <si>
    <t xml:space="preserve">TP_PREAMP_ZN</t>
  </si>
  <si>
    <t xml:space="preserve">TP10</t>
  </si>
  <si>
    <t xml:space="preserve">TP_PREAMP_EN</t>
  </si>
  <si>
    <t xml:space="preserve">TP11</t>
  </si>
  <si>
    <t xml:space="preserve">TP_PREAMP_NN</t>
  </si>
  <si>
    <t xml:space="preserve">U1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</si>
  <si>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MC34063AD SOIC</t>
    </r>
  </si>
  <si>
    <t xml:space="preserve">MC34063AD</t>
  </si>
  <si>
    <t xml:space="preserve">http://www.onsemi.com/pub_link/Collateral/MC34063A-D.PDF</t>
  </si>
  <si>
    <t xml:space="preserve">Package_SO:SOIC-8_3.9x4.9mm_P1.27mm</t>
  </si>
  <si>
    <t xml:space="preserve">U2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</si>
  <si>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RT9013-25GB</t>
    </r>
  </si>
  <si>
    <t xml:space="preserve">RT9013-25GB</t>
  </si>
  <si>
    <t xml:space="preserve">https://www.richtek.com/assets/product_file/RT9013/DS9013-10.pdf</t>
  </si>
  <si>
    <t xml:space="preserve">Package_TO_SOT_SMD:TSOT-23-5</t>
  </si>
  <si>
    <t xml:space="preserve">U3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</si>
  <si>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LM7805 TO220</t>
    </r>
  </si>
  <si>
    <t xml:space="preserve">LM7805_TO220</t>
  </si>
  <si>
    <t xml:space="preserve">https://www.onsemi.cn/PowerSolutions/document/MC7800-D.PDF</t>
  </si>
  <si>
    <t xml:space="preserve">Package_TO_SOT_THT:TO-220-3_Horizontal_TabDown</t>
  </si>
  <si>
    <t xml:space="preserve">U4</t>
  </si>
  <si>
    <r>
      <rPr>
        <sz val="10"/>
        <rFont val="Noto Sans CJK TC"/>
        <family val="2"/>
        <charset val="1"/>
      </rPr>
      <t xml:space="preserve">淘宝搜索  </t>
    </r>
    <r>
      <rPr>
        <sz val="10"/>
        <rFont val="Arial"/>
        <family val="2"/>
        <charset val="1"/>
      </rPr>
      <t xml:space="preserve">LM337 SOT223</t>
    </r>
  </si>
  <si>
    <t xml:space="preserve">LM337_SOT223</t>
  </si>
  <si>
    <t xml:space="preserve">http://www.ti.com/lit/ds/symlink/lm337-n.pdf</t>
  </si>
  <si>
    <t xml:space="preserve">Package_TO_SOT_SMD:SOT-223-3_TabPin2</t>
  </si>
  <si>
    <t xml:space="preserve">U5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</si>
  <si>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AMS1117-3.3</t>
    </r>
  </si>
  <si>
    <t xml:space="preserve">AMS1117-3.3</t>
  </si>
  <si>
    <t xml:space="preserve">http://www.advanced-monolithic.com/pdf/ds1117.pdf</t>
  </si>
  <si>
    <t xml:space="preserve">U6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</si>
  <si>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24C08 SOIC</t>
    </r>
  </si>
  <si>
    <t xml:space="preserve">AT24CS08-SSHM</t>
  </si>
  <si>
    <t xml:space="preserve">http://ww1.microchip.com/downloads/en/DeviceDoc/Atmel-8766-SEEPROM-AT24CS04-08-Datasheet.pdf</t>
  </si>
  <si>
    <t xml:space="preserve">U7</t>
  </si>
  <si>
    <t xml:space="preserve">淘宝搜索 SSD1306 模块 I2C</t>
  </si>
  <si>
    <t xml:space="preserve">SSD1306</t>
  </si>
  <si>
    <t xml:space="preserve">https://cdn-shop.adafruit.com/datasheets/SSD1306.pdf</t>
  </si>
  <si>
    <t xml:space="preserve">Explorer:SSD1306</t>
  </si>
  <si>
    <t xml:space="preserve">U8</t>
  </si>
  <si>
    <t xml:space="preserve">淘宝搜索中科微 ATGM332D</t>
  </si>
  <si>
    <t xml:space="preserve">NEO-M8M</t>
  </si>
  <si>
    <t xml:space="preserve">https://content.u-blox.com/sites/default/files/NEO-M8-FW3_DataSheet_UBX-15031086.pdf</t>
  </si>
  <si>
    <t xml:space="preserve">RF_GPS:ublox_NEO</t>
  </si>
  <si>
    <t xml:space="preserve">U9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</si>
  <si>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74HC14D SOIC</t>
    </r>
  </si>
  <si>
    <t xml:space="preserve">74HC14</t>
  </si>
  <si>
    <t xml:space="preserve">http://www.ti.com/lit/gpn/sn74HC14</t>
  </si>
  <si>
    <t xml:space="preserve">Package_SO:SO-14_3.9x8.65mm_P1.27mm</t>
  </si>
  <si>
    <t xml:space="preserve">U10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</si>
  <si>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MAX3485 SOIC</t>
    </r>
  </si>
  <si>
    <t xml:space="preserve">MAX3485</t>
  </si>
  <si>
    <t xml:space="preserve">https://datasheets.maximintegrated.com/en/ds/MAX3483-MAX3491.pdf</t>
  </si>
  <si>
    <t xml:space="preserve">U11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</si>
  <si>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STM32F103C8T6</t>
    </r>
  </si>
  <si>
    <t xml:space="preserve">STM32F103C8Tx</t>
  </si>
  <si>
    <t xml:space="preserve">https://www.st.com/resource/en/datasheet/stm32f103c8.pdf</t>
  </si>
  <si>
    <t xml:space="preserve">Package_QFP:LQFP-48_7x7mm_P0.5mm</t>
  </si>
  <si>
    <t xml:space="preserve">U12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</si>
  <si>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MAX3232 SOIC</t>
    </r>
  </si>
  <si>
    <t xml:space="preserve">MAX3232</t>
  </si>
  <si>
    <t xml:space="preserve">https://datasheets.maximintegrated.com/en/ds/MAX3222-MAX3241.pdf</t>
  </si>
  <si>
    <t xml:space="preserve">Package_SO:SOIC-16_3.9x9.9mm_P1.27mm</t>
  </si>
  <si>
    <t xml:space="preserve">U13,U14,U15,U17,U18,U19,U21,U22,U23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</si>
  <si>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ADA4528-1ARMZ</t>
    </r>
  </si>
  <si>
    <t xml:space="preserve">ADA4528-1ARMZ</t>
  </si>
  <si>
    <t xml:space="preserve">https://www.analog.com/media/en/technical-documentation/data-sheets/ADA4528-1_4528-2.pdf</t>
  </si>
  <si>
    <t xml:space="preserve">Package_SO:MSOP-8_3x3mm_P0.65mm</t>
  </si>
  <si>
    <t xml:space="preserve">U16</t>
  </si>
  <si>
    <r>
      <rPr>
        <sz val="10"/>
        <rFont val="Noto Sans CJK TC"/>
        <family val="2"/>
        <charset val="1"/>
      </rPr>
      <t xml:space="preserve">淘宝搜索 </t>
    </r>
    <r>
      <rPr>
        <sz val="10"/>
        <rFont val="Arial"/>
        <family val="2"/>
        <charset val="1"/>
      </rPr>
      <t xml:space="preserve">LSM6DS3</t>
    </r>
  </si>
  <si>
    <t xml:space="preserve">LSM6DS3</t>
  </si>
  <si>
    <t xml:space="preserve">https://www.st.com/resource/en/datasheet/lsm6ds3tr-c.pdf</t>
  </si>
  <si>
    <t xml:space="preserve">Package_LGA:LGA-14_3x2.5mm_P0.5mm_LayoutBorder3x4y</t>
  </si>
  <si>
    <t xml:space="preserve">U20</t>
  </si>
  <si>
    <t xml:space="preserve">淘宝搜索 LM35 TO92</t>
  </si>
  <si>
    <t xml:space="preserve">LM35-LP</t>
  </si>
  <si>
    <t xml:space="preserve">http://www.ti.com/lit/ds/symlink/lm35.pdf</t>
  </si>
  <si>
    <t xml:space="preserve">Package_TO_SOT_THT:TO-92_Inline</t>
  </si>
  <si>
    <t xml:space="preserve">U24</t>
  </si>
  <si>
    <t xml:space="preserve">淘宝搜索 ADS1262IPWR</t>
  </si>
  <si>
    <t xml:space="preserve">ADS1262IPWR</t>
  </si>
  <si>
    <t xml:space="preserve">https://www.ti.com/lit/ds/symlink/ads1262.pdf</t>
  </si>
  <si>
    <t xml:space="preserve">Package_SO:TSSOP-28_4.4x9.7mm_P0.65mm</t>
  </si>
  <si>
    <t xml:space="preserve">Y1,Y2</t>
  </si>
  <si>
    <t xml:space="preserve">C20617538</t>
  </si>
  <si>
    <t xml:space="preserve">8MHz</t>
  </si>
  <si>
    <t xml:space="preserve">Crystal:Crystal_SMD_HC49-SD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</si>
</sst>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Noto Sans CJK T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3CAFF"/>
        <bgColor rgb="FF9999FF"/>
      </patternFill>
    </fill>
    <fill>
      <patternFill patternType="solid">
        <fgColor rgb="FF4B1F6F"/>
        <bgColor rgb="FF660066"/>
      </patternFill>
    </fill>
    <fill>
      <patternFill patternType="solid">
        <fgColor rgb="FF579D1C"/>
        <bgColor rgb="FF808000"/>
      </patternFill>
    </fill>
    <fill>
      <patternFill patternType="solid">
        <fgColor rgb="FFFFD32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6600"/>
      <rgbColor rgb="FF666699"/>
      <rgbColor rgb="FF969696"/>
      <rgbColor rgb="FF003366"/>
      <rgbColor rgb="FF579D1C"/>
      <rgbColor rgb="FF003300"/>
      <rgbColor rgb="FF333300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2"/>
  <sheetViews>
    <sheetView showFormulas="false" showGridLines="true" showRowColHeaders="true" showZeros="true" rightToLeft="false" tabSelected="true" showOutlineSymbols="true" defaultGridColor="true" view="normal" topLeftCell="A37" colorId="64" zoomScale="80" zoomScaleNormal="80" zoomScalePageLayoutView="100" workbookViewId="0">
      <selection pane="topLeft" activeCell="D45" activeCellId="0" sqref="D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24"/>
    <col collapsed="false" customWidth="true" hidden="false" outlineLevel="0" max="2" min="2" style="1" width="28.38"/>
    <col collapsed="false" customWidth="true" hidden="false" outlineLevel="0" max="4" min="3" style="1" width="18.56"/>
    <col collapsed="false" customWidth="true" hidden="false" outlineLevel="0" max="5" min="5" style="1" width="11.69"/>
    <col collapsed="false" customWidth="true" hidden="false" outlineLevel="0" max="6" min="6" style="1" width="67.24"/>
    <col collapsed="false" customWidth="true" hidden="false" outlineLevel="0" max="7" min="7" style="1" width="4.37"/>
    <col collapsed="false" customWidth="true" hidden="false" outlineLevel="0" max="8" min="8" style="1" width="5.24"/>
    <col collapsed="false" customWidth="false" hidden="false" outlineLevel="0" max="1024" min="9" style="1" width="11.52"/>
  </cols>
  <sheetData>
    <row r="1" customFormat="false" ht="15.8" hidden="false" customHeight="false" outlineLevel="0" collapsed="false">
      <c r="A1" s="2" t="s">
        <v>0</v>
      </c>
      <c r="B1" s="2" t="n">
        <v>5</v>
      </c>
      <c r="C1" s="3" t="s">
        <v>1</v>
      </c>
      <c r="D1" s="4" t="s">
        <v>2</v>
      </c>
      <c r="E1" s="5" t="s">
        <v>3</v>
      </c>
    </row>
    <row r="2" customFormat="false" ht="16.25" hidden="false" customHeight="false" outlineLevel="0" collapsed="false">
      <c r="A2" s="6" t="s">
        <v>4</v>
      </c>
      <c r="B2" s="1" t="s">
        <v>5</v>
      </c>
      <c r="C2" s="1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</row>
    <row r="3" s="4" customFormat="true" ht="12.8" hidden="false" customHeight="false" outlineLevel="0" collapsed="false">
      <c r="A3" s="7" t="s">
        <v>12</v>
      </c>
      <c r="B3" s="7" t="s">
        <v>13</v>
      </c>
      <c r="C3" s="4" t="n">
        <f aca="false">B1*G3</f>
        <v>5</v>
      </c>
      <c r="D3" s="7" t="s">
        <v>14</v>
      </c>
      <c r="E3" s="7" t="s">
        <v>15</v>
      </c>
      <c r="F3" s="7" t="s">
        <v>16</v>
      </c>
      <c r="G3" s="4" t="n">
        <v>1</v>
      </c>
    </row>
    <row r="4" s="5" customFormat="true" ht="16.25" hidden="false" customHeight="false" outlineLevel="0" collapsed="false">
      <c r="A4" s="8" t="s">
        <v>17</v>
      </c>
      <c r="B4" s="8" t="s">
        <v>18</v>
      </c>
      <c r="C4" s="5" t="n">
        <f aca="false">B1*G4</f>
        <v>10</v>
      </c>
      <c r="D4" s="8" t="s">
        <v>19</v>
      </c>
      <c r="E4" s="8" t="s">
        <v>15</v>
      </c>
      <c r="F4" s="8" t="s">
        <v>20</v>
      </c>
      <c r="G4" s="5" t="n">
        <v>2</v>
      </c>
    </row>
    <row r="5" s="5" customFormat="true" ht="16.25" hidden="false" customHeight="false" outlineLevel="0" collapsed="false">
      <c r="A5" s="8" t="s">
        <v>21</v>
      </c>
      <c r="B5" s="8" t="s">
        <v>22</v>
      </c>
      <c r="C5" s="5" t="n">
        <f aca="false">B1*G5</f>
        <v>5</v>
      </c>
      <c r="D5" s="8" t="s">
        <v>23</v>
      </c>
      <c r="E5" s="8" t="s">
        <v>15</v>
      </c>
      <c r="F5" s="8" t="s">
        <v>24</v>
      </c>
      <c r="G5" s="5" t="n">
        <v>1</v>
      </c>
    </row>
    <row r="6" s="5" customFormat="true" ht="43.35" hidden="false" customHeight="true" outlineLevel="0" collapsed="false">
      <c r="A6" s="8" t="s">
        <v>25</v>
      </c>
      <c r="B6" s="8" t="s">
        <v>26</v>
      </c>
      <c r="C6" s="5" t="n">
        <f aca="false">B1*G6</f>
        <v>30</v>
      </c>
      <c r="D6" s="8" t="s">
        <v>27</v>
      </c>
      <c r="E6" s="8" t="s">
        <v>15</v>
      </c>
      <c r="F6" s="8" t="s">
        <v>20</v>
      </c>
      <c r="G6" s="5" t="n">
        <v>6</v>
      </c>
    </row>
    <row r="7" s="5" customFormat="true" ht="138.55" hidden="false" customHeight="false" outlineLevel="0" collapsed="false">
      <c r="A7" s="8" t="s">
        <v>28</v>
      </c>
      <c r="B7" s="8" t="s">
        <v>29</v>
      </c>
      <c r="C7" s="5" t="n">
        <f aca="false">B1*G7</f>
        <v>230</v>
      </c>
      <c r="D7" s="8" t="s">
        <v>30</v>
      </c>
      <c r="E7" s="8" t="s">
        <v>15</v>
      </c>
      <c r="F7" s="8" t="s">
        <v>24</v>
      </c>
      <c r="G7" s="5" t="n">
        <v>46</v>
      </c>
    </row>
    <row r="8" s="5" customFormat="true" ht="16.25" hidden="false" customHeight="false" outlineLevel="0" collapsed="false">
      <c r="A8" s="8" t="s">
        <v>31</v>
      </c>
      <c r="B8" s="8" t="s">
        <v>32</v>
      </c>
      <c r="C8" s="5" t="n">
        <f aca="false">B1*G8</f>
        <v>15</v>
      </c>
      <c r="D8" s="8" t="s">
        <v>33</v>
      </c>
      <c r="E8" s="8" t="s">
        <v>15</v>
      </c>
      <c r="F8" s="8" t="s">
        <v>20</v>
      </c>
      <c r="G8" s="5" t="n">
        <v>3</v>
      </c>
    </row>
    <row r="9" s="5" customFormat="true" ht="16.25" hidden="false" customHeight="false" outlineLevel="0" collapsed="false">
      <c r="A9" s="8" t="s">
        <v>34</v>
      </c>
      <c r="B9" s="8" t="s">
        <v>35</v>
      </c>
      <c r="C9" s="5" t="n">
        <f aca="false">B1*G9</f>
        <v>5</v>
      </c>
      <c r="D9" s="8" t="s">
        <v>36</v>
      </c>
      <c r="E9" s="8" t="s">
        <v>15</v>
      </c>
      <c r="F9" s="8" t="s">
        <v>20</v>
      </c>
      <c r="G9" s="5" t="n">
        <v>1</v>
      </c>
    </row>
    <row r="10" s="5" customFormat="true" ht="16.25" hidden="false" customHeight="false" outlineLevel="0" collapsed="false">
      <c r="A10" s="8" t="s">
        <v>37</v>
      </c>
      <c r="B10" s="8" t="s">
        <v>38</v>
      </c>
      <c r="C10" s="5" t="n">
        <f aca="false">B1*G10</f>
        <v>10</v>
      </c>
      <c r="D10" s="8" t="s">
        <v>39</v>
      </c>
      <c r="E10" s="8" t="s">
        <v>15</v>
      </c>
      <c r="F10" s="8" t="s">
        <v>24</v>
      </c>
      <c r="G10" s="5" t="n">
        <v>2</v>
      </c>
    </row>
    <row r="11" s="4" customFormat="true" ht="16.25" hidden="false" customHeight="false" outlineLevel="0" collapsed="false">
      <c r="A11" s="7" t="s">
        <v>40</v>
      </c>
      <c r="B11" s="7" t="s">
        <v>41</v>
      </c>
      <c r="C11" s="4" t="n">
        <f aca="false">B1*G11</f>
        <v>10</v>
      </c>
      <c r="D11" s="7" t="s">
        <v>42</v>
      </c>
      <c r="E11" s="7" t="s">
        <v>15</v>
      </c>
      <c r="F11" s="7" t="s">
        <v>24</v>
      </c>
      <c r="G11" s="4" t="n">
        <v>2</v>
      </c>
    </row>
    <row r="12" s="5" customFormat="true" ht="16.25" hidden="false" customHeight="false" outlineLevel="0" collapsed="false">
      <c r="A12" s="8" t="s">
        <v>43</v>
      </c>
      <c r="B12" s="8" t="s">
        <v>44</v>
      </c>
      <c r="C12" s="5" t="n">
        <f aca="false">B1*G12</f>
        <v>5</v>
      </c>
      <c r="D12" s="8" t="s">
        <v>45</v>
      </c>
      <c r="E12" s="8" t="s">
        <v>15</v>
      </c>
      <c r="F12" s="8" t="s">
        <v>24</v>
      </c>
      <c r="G12" s="5" t="n">
        <v>1</v>
      </c>
    </row>
    <row r="13" s="4" customFormat="true" ht="16.25" hidden="false" customHeight="false" outlineLevel="0" collapsed="false">
      <c r="A13" s="7" t="s">
        <v>46</v>
      </c>
      <c r="B13" s="7" t="s">
        <v>47</v>
      </c>
      <c r="C13" s="4" t="n">
        <f aca="false">B1*G13</f>
        <v>10</v>
      </c>
      <c r="D13" s="7" t="s">
        <v>48</v>
      </c>
      <c r="E13" s="7" t="s">
        <v>15</v>
      </c>
      <c r="F13" s="7" t="s">
        <v>24</v>
      </c>
      <c r="G13" s="4" t="n">
        <v>2</v>
      </c>
    </row>
    <row r="14" s="4" customFormat="true" ht="58.4" hidden="false" customHeight="false" outlineLevel="0" collapsed="false">
      <c r="A14" s="7" t="s">
        <v>49</v>
      </c>
      <c r="B14" s="7" t="s">
        <v>50</v>
      </c>
      <c r="C14" s="4" t="n">
        <f aca="false">B1*G14</f>
        <v>20</v>
      </c>
      <c r="D14" s="7" t="s">
        <v>51</v>
      </c>
      <c r="E14" s="7" t="s">
        <v>52</v>
      </c>
      <c r="F14" s="7" t="s">
        <v>53</v>
      </c>
      <c r="G14" s="4" t="n">
        <v>4</v>
      </c>
    </row>
    <row r="15" s="4" customFormat="true" ht="41.55" hidden="false" customHeight="true" outlineLevel="0" collapsed="false">
      <c r="A15" s="7" t="s">
        <v>54</v>
      </c>
      <c r="B15" s="7" t="s">
        <v>55</v>
      </c>
      <c r="C15" s="4" t="n">
        <f aca="false">B1*G15</f>
        <v>35</v>
      </c>
      <c r="D15" s="7" t="s">
        <v>56</v>
      </c>
      <c r="E15" s="7" t="s">
        <v>15</v>
      </c>
      <c r="F15" s="7" t="s">
        <v>57</v>
      </c>
      <c r="G15" s="4" t="n">
        <v>7</v>
      </c>
    </row>
    <row r="16" s="4" customFormat="true" ht="58.4" hidden="false" customHeight="false" outlineLevel="0" collapsed="false">
      <c r="A16" s="7" t="s">
        <v>58</v>
      </c>
      <c r="B16" s="7" t="s">
        <v>59</v>
      </c>
      <c r="C16" s="4" t="n">
        <f aca="false">B1*G16</f>
        <v>20</v>
      </c>
      <c r="D16" s="7" t="s">
        <v>60</v>
      </c>
      <c r="E16" s="7" t="s">
        <v>61</v>
      </c>
      <c r="F16" s="7" t="s">
        <v>62</v>
      </c>
      <c r="G16" s="4" t="n">
        <v>4</v>
      </c>
    </row>
    <row r="17" s="5" customFormat="true" ht="69.85" hidden="false" customHeight="false" outlineLevel="0" collapsed="false">
      <c r="A17" s="8" t="s">
        <v>63</v>
      </c>
      <c r="B17" s="8" t="s">
        <v>64</v>
      </c>
      <c r="C17" s="5" t="n">
        <f aca="false">B1*G17</f>
        <v>45</v>
      </c>
      <c r="D17" s="8" t="s">
        <v>65</v>
      </c>
      <c r="E17" s="8" t="s">
        <v>66</v>
      </c>
      <c r="F17" s="8" t="s">
        <v>67</v>
      </c>
      <c r="G17" s="5" t="n">
        <v>9</v>
      </c>
    </row>
    <row r="18" s="4" customFormat="true" ht="16.25" hidden="false" customHeight="false" outlineLevel="0" collapsed="false">
      <c r="A18" s="7" t="s">
        <v>68</v>
      </c>
      <c r="B18" s="4" t="s">
        <v>69</v>
      </c>
      <c r="C18" s="4" t="n">
        <f aca="false">B1*G18</f>
        <v>5</v>
      </c>
      <c r="D18" s="7" t="s">
        <v>70</v>
      </c>
      <c r="E18" s="7" t="s">
        <v>15</v>
      </c>
      <c r="F18" s="7" t="s">
        <v>71</v>
      </c>
      <c r="G18" s="4" t="n">
        <v>1</v>
      </c>
    </row>
    <row r="19" s="4" customFormat="true" ht="31.3" hidden="false" customHeight="false" outlineLevel="0" collapsed="false">
      <c r="A19" s="7" t="s">
        <v>72</v>
      </c>
      <c r="B19" s="4" t="s">
        <v>73</v>
      </c>
      <c r="C19" s="4" t="n">
        <f aca="false">B1*G19</f>
        <v>5</v>
      </c>
      <c r="D19" s="7" t="s">
        <v>74</v>
      </c>
      <c r="E19" s="7" t="s">
        <v>15</v>
      </c>
      <c r="F19" s="7" t="s">
        <v>75</v>
      </c>
      <c r="G19" s="4" t="n">
        <v>1</v>
      </c>
    </row>
    <row r="20" s="4" customFormat="true" ht="16.25" hidden="false" customHeight="false" outlineLevel="0" collapsed="false">
      <c r="A20" s="7" t="s">
        <v>76</v>
      </c>
      <c r="B20" s="4" t="s">
        <v>77</v>
      </c>
      <c r="C20" s="4" t="n">
        <f aca="false">B1*G20</f>
        <v>5</v>
      </c>
      <c r="D20" s="7" t="s">
        <v>78</v>
      </c>
      <c r="E20" s="7" t="s">
        <v>15</v>
      </c>
      <c r="F20" s="7" t="s">
        <v>71</v>
      </c>
      <c r="G20" s="4" t="n">
        <v>1</v>
      </c>
    </row>
    <row r="21" s="4" customFormat="true" ht="16.25" hidden="false" customHeight="false" outlineLevel="0" collapsed="false">
      <c r="A21" s="7" t="s">
        <v>79</v>
      </c>
      <c r="B21" s="4" t="s">
        <v>80</v>
      </c>
      <c r="C21" s="4" t="n">
        <f aca="false">B1*G21</f>
        <v>5</v>
      </c>
      <c r="D21" s="7" t="s">
        <v>81</v>
      </c>
      <c r="E21" s="7" t="s">
        <v>15</v>
      </c>
      <c r="F21" s="7" t="s">
        <v>82</v>
      </c>
      <c r="G21" s="4" t="n">
        <v>1</v>
      </c>
    </row>
    <row r="22" s="4" customFormat="true" ht="31.3" hidden="false" customHeight="false" outlineLevel="0" collapsed="false">
      <c r="A22" s="7" t="s">
        <v>83</v>
      </c>
      <c r="B22" s="4" t="s">
        <v>73</v>
      </c>
      <c r="C22" s="4" t="n">
        <f aca="false">B1*G22</f>
        <v>5</v>
      </c>
      <c r="D22" s="7" t="s">
        <v>84</v>
      </c>
      <c r="E22" s="7" t="s">
        <v>15</v>
      </c>
      <c r="F22" s="7" t="s">
        <v>85</v>
      </c>
      <c r="G22" s="4" t="n">
        <v>1</v>
      </c>
    </row>
    <row r="23" s="4" customFormat="true" ht="31.3" hidden="false" customHeight="false" outlineLevel="0" collapsed="false">
      <c r="A23" s="7" t="s">
        <v>86</v>
      </c>
      <c r="B23" s="4" t="s">
        <v>73</v>
      </c>
      <c r="C23" s="4" t="n">
        <f aca="false">B1*G23</f>
        <v>5</v>
      </c>
      <c r="D23" s="7" t="s">
        <v>87</v>
      </c>
      <c r="E23" s="7" t="s">
        <v>15</v>
      </c>
      <c r="F23" s="7" t="s">
        <v>85</v>
      </c>
      <c r="G23" s="4" t="n">
        <v>1</v>
      </c>
    </row>
    <row r="24" s="4" customFormat="true" ht="35.5" hidden="false" customHeight="false" outlineLevel="0" collapsed="false">
      <c r="A24" s="7" t="s">
        <v>88</v>
      </c>
      <c r="B24" s="4" t="s">
        <v>89</v>
      </c>
      <c r="C24" s="4" t="n">
        <f aca="false">B1*G24</f>
        <v>5</v>
      </c>
      <c r="D24" s="7" t="s">
        <v>90</v>
      </c>
      <c r="E24" s="7" t="s">
        <v>15</v>
      </c>
      <c r="F24" s="7" t="s">
        <v>91</v>
      </c>
      <c r="G24" s="4" t="n">
        <v>1</v>
      </c>
    </row>
    <row r="25" s="4" customFormat="true" ht="35.5" hidden="false" customHeight="false" outlineLevel="0" collapsed="false">
      <c r="A25" s="7" t="s">
        <v>92</v>
      </c>
      <c r="B25" s="4" t="s">
        <v>93</v>
      </c>
      <c r="C25" s="4" t="n">
        <f aca="false">B1*G25</f>
        <v>5</v>
      </c>
      <c r="D25" s="7" t="s">
        <v>94</v>
      </c>
      <c r="E25" s="7" t="s">
        <v>15</v>
      </c>
      <c r="F25" s="7" t="s">
        <v>95</v>
      </c>
      <c r="G25" s="4" t="n">
        <v>1</v>
      </c>
    </row>
    <row r="26" s="4" customFormat="true" ht="16.25" hidden="false" customHeight="false" outlineLevel="0" collapsed="false">
      <c r="A26" s="7" t="s">
        <v>96</v>
      </c>
      <c r="B26" s="4" t="s">
        <v>97</v>
      </c>
      <c r="C26" s="4" t="n">
        <f aca="false">B1*G26</f>
        <v>5</v>
      </c>
      <c r="D26" s="7" t="s">
        <v>98</v>
      </c>
      <c r="E26" s="7" t="s">
        <v>15</v>
      </c>
      <c r="F26" s="7" t="s">
        <v>99</v>
      </c>
      <c r="G26" s="4" t="n">
        <v>1</v>
      </c>
    </row>
    <row r="27" s="4" customFormat="true" ht="16.25" hidden="false" customHeight="false" outlineLevel="0" collapsed="false">
      <c r="A27" s="7" t="s">
        <v>100</v>
      </c>
      <c r="B27" s="4" t="s">
        <v>97</v>
      </c>
      <c r="C27" s="4" t="n">
        <f aca="false">B1*G27</f>
        <v>5</v>
      </c>
      <c r="D27" s="7" t="s">
        <v>101</v>
      </c>
      <c r="E27" s="7" t="s">
        <v>15</v>
      </c>
      <c r="F27" s="7" t="s">
        <v>99</v>
      </c>
      <c r="G27" s="4" t="n">
        <v>1</v>
      </c>
    </row>
    <row r="28" s="4" customFormat="true" ht="16.25" hidden="false" customHeight="false" outlineLevel="0" collapsed="false">
      <c r="A28" s="7" t="s">
        <v>102</v>
      </c>
      <c r="B28" s="4" t="s">
        <v>97</v>
      </c>
      <c r="C28" s="4" t="n">
        <f aca="false">B1*G28</f>
        <v>5</v>
      </c>
      <c r="D28" s="7" t="s">
        <v>103</v>
      </c>
      <c r="E28" s="7" t="s">
        <v>15</v>
      </c>
      <c r="F28" s="7" t="s">
        <v>99</v>
      </c>
      <c r="G28" s="4" t="n">
        <v>1</v>
      </c>
    </row>
    <row r="29" s="4" customFormat="true" ht="16.25" hidden="false" customHeight="false" outlineLevel="0" collapsed="false">
      <c r="A29" s="7" t="s">
        <v>104</v>
      </c>
      <c r="B29" s="4" t="s">
        <v>77</v>
      </c>
      <c r="C29" s="4" t="n">
        <f aca="false">B1*G29</f>
        <v>5</v>
      </c>
      <c r="D29" s="7" t="s">
        <v>105</v>
      </c>
      <c r="E29" s="7" t="s">
        <v>15</v>
      </c>
      <c r="F29" s="7" t="s">
        <v>71</v>
      </c>
      <c r="G29" s="4" t="n">
        <v>1</v>
      </c>
    </row>
    <row r="30" s="4" customFormat="true" ht="16.25" hidden="false" customHeight="false" outlineLevel="0" collapsed="false">
      <c r="A30" s="7" t="s">
        <v>106</v>
      </c>
      <c r="B30" s="4" t="s">
        <v>77</v>
      </c>
      <c r="C30" s="4" t="n">
        <f aca="false">B1*G30</f>
        <v>5</v>
      </c>
      <c r="D30" s="7" t="s">
        <v>107</v>
      </c>
      <c r="E30" s="7" t="s">
        <v>15</v>
      </c>
      <c r="F30" s="7" t="s">
        <v>71</v>
      </c>
      <c r="G30" s="4" t="n">
        <v>1</v>
      </c>
    </row>
    <row r="31" s="4" customFormat="true" ht="16.25" hidden="false" customHeight="false" outlineLevel="0" collapsed="false">
      <c r="A31" s="7" t="s">
        <v>108</v>
      </c>
      <c r="B31" s="4" t="s">
        <v>77</v>
      </c>
      <c r="C31" s="4" t="n">
        <f aca="false">B1*G31</f>
        <v>5</v>
      </c>
      <c r="D31" s="7" t="s">
        <v>109</v>
      </c>
      <c r="E31" s="7" t="s">
        <v>15</v>
      </c>
      <c r="F31" s="7" t="s">
        <v>71</v>
      </c>
      <c r="G31" s="4" t="n">
        <v>1</v>
      </c>
    </row>
    <row r="32" s="4" customFormat="true" ht="16.25" hidden="false" customHeight="false" outlineLevel="0" collapsed="false">
      <c r="A32" s="7" t="s">
        <v>110</v>
      </c>
      <c r="B32" s="4" t="s">
        <v>111</v>
      </c>
      <c r="C32" s="4" t="n">
        <f aca="false">B1*G32</f>
        <v>5</v>
      </c>
      <c r="D32" s="7" t="s">
        <v>112</v>
      </c>
      <c r="E32" s="7" t="s">
        <v>15</v>
      </c>
      <c r="F32" s="7" t="s">
        <v>113</v>
      </c>
      <c r="G32" s="4" t="n">
        <v>1</v>
      </c>
    </row>
    <row r="33" s="4" customFormat="true" ht="16.25" hidden="false" customHeight="false" outlineLevel="0" collapsed="false">
      <c r="A33" s="7" t="s">
        <v>114</v>
      </c>
      <c r="B33" s="4" t="s">
        <v>115</v>
      </c>
      <c r="C33" s="4" t="n">
        <f aca="false">B1*G33</f>
        <v>5</v>
      </c>
      <c r="D33" s="7" t="s">
        <v>116</v>
      </c>
      <c r="E33" s="7" t="s">
        <v>15</v>
      </c>
      <c r="F33" s="7" t="s">
        <v>117</v>
      </c>
      <c r="G33" s="4" t="n">
        <v>1</v>
      </c>
    </row>
    <row r="34" s="4" customFormat="true" ht="16.25" hidden="false" customHeight="false" outlineLevel="0" collapsed="false">
      <c r="A34" s="7" t="s">
        <v>118</v>
      </c>
      <c r="B34" s="4" t="s">
        <v>115</v>
      </c>
      <c r="C34" s="4" t="n">
        <f aca="false">B1*G34</f>
        <v>5</v>
      </c>
      <c r="D34" s="7" t="s">
        <v>119</v>
      </c>
      <c r="E34" s="7" t="s">
        <v>15</v>
      </c>
      <c r="F34" s="7" t="s">
        <v>117</v>
      </c>
      <c r="G34" s="4" t="n">
        <v>1</v>
      </c>
    </row>
    <row r="35" s="4" customFormat="true" ht="16.25" hidden="false" customHeight="false" outlineLevel="0" collapsed="false">
      <c r="A35" s="7" t="s">
        <v>120</v>
      </c>
      <c r="B35" s="4" t="s">
        <v>115</v>
      </c>
      <c r="C35" s="4" t="n">
        <f aca="false">B1*G35</f>
        <v>5</v>
      </c>
      <c r="D35" s="7" t="s">
        <v>121</v>
      </c>
      <c r="E35" s="7" t="s">
        <v>15</v>
      </c>
      <c r="F35" s="7" t="s">
        <v>117</v>
      </c>
      <c r="G35" s="4" t="n">
        <v>1</v>
      </c>
    </row>
    <row r="36" s="5" customFormat="true" ht="16.25" hidden="false" customHeight="false" outlineLevel="0" collapsed="false">
      <c r="A36" s="8" t="s">
        <v>122</v>
      </c>
      <c r="B36" s="8" t="s">
        <v>123</v>
      </c>
      <c r="C36" s="5" t="n">
        <f aca="false">B1*G36</f>
        <v>5</v>
      </c>
      <c r="D36" s="8" t="s">
        <v>124</v>
      </c>
      <c r="E36" s="8" t="s">
        <v>15</v>
      </c>
      <c r="F36" s="8" t="s">
        <v>125</v>
      </c>
      <c r="G36" s="5" t="n">
        <v>1</v>
      </c>
    </row>
    <row r="37" s="5" customFormat="true" ht="12.8" hidden="false" customHeight="false" outlineLevel="0" collapsed="false">
      <c r="A37" s="8" t="s">
        <v>126</v>
      </c>
      <c r="B37" s="8" t="s">
        <v>127</v>
      </c>
      <c r="C37" s="5" t="n">
        <f aca="false">B1*G37</f>
        <v>5</v>
      </c>
      <c r="D37" s="8" t="s">
        <v>128</v>
      </c>
      <c r="E37" s="8" t="s">
        <v>15</v>
      </c>
      <c r="F37" s="8" t="s">
        <v>129</v>
      </c>
      <c r="G37" s="5" t="n">
        <v>1</v>
      </c>
    </row>
    <row r="38" s="5" customFormat="true" ht="12.8" hidden="false" customHeight="false" outlineLevel="0" collapsed="false">
      <c r="A38" s="8" t="s">
        <v>130</v>
      </c>
      <c r="B38" s="8" t="s">
        <v>131</v>
      </c>
      <c r="C38" s="5" t="n">
        <f aca="false">B1*G38</f>
        <v>5</v>
      </c>
      <c r="D38" s="8" t="s">
        <v>132</v>
      </c>
      <c r="E38" s="8" t="s">
        <v>15</v>
      </c>
      <c r="F38" s="8" t="s">
        <v>129</v>
      </c>
      <c r="G38" s="5" t="n">
        <v>1</v>
      </c>
    </row>
    <row r="39" s="5" customFormat="true" ht="12.8" hidden="false" customHeight="false" outlineLevel="0" collapsed="false">
      <c r="A39" s="8" t="s">
        <v>133</v>
      </c>
      <c r="B39" s="8" t="s">
        <v>134</v>
      </c>
      <c r="C39" s="5" t="n">
        <f aca="false">B1*G39</f>
        <v>5</v>
      </c>
      <c r="D39" s="5" t="n">
        <v>330</v>
      </c>
      <c r="E39" s="8" t="s">
        <v>15</v>
      </c>
      <c r="F39" s="8" t="s">
        <v>135</v>
      </c>
      <c r="G39" s="5" t="n">
        <v>1</v>
      </c>
    </row>
    <row r="40" s="5" customFormat="true" ht="35.5" hidden="false" customHeight="false" outlineLevel="0" collapsed="false">
      <c r="A40" s="8" t="s">
        <v>136</v>
      </c>
      <c r="B40" s="8" t="s">
        <v>137</v>
      </c>
      <c r="C40" s="5" t="n">
        <f aca="false">B1*G40</f>
        <v>55</v>
      </c>
      <c r="D40" s="8" t="s">
        <v>138</v>
      </c>
      <c r="E40" s="8" t="s">
        <v>15</v>
      </c>
      <c r="F40" s="8" t="s">
        <v>135</v>
      </c>
      <c r="G40" s="5" t="n">
        <v>11</v>
      </c>
    </row>
    <row r="41" s="5" customFormat="true" ht="16.25" hidden="false" customHeight="false" outlineLevel="0" collapsed="false">
      <c r="A41" s="8" t="s">
        <v>139</v>
      </c>
      <c r="B41" s="8" t="s">
        <v>140</v>
      </c>
      <c r="C41" s="5" t="n">
        <f aca="false">B1*G41</f>
        <v>5</v>
      </c>
      <c r="D41" s="5" t="n">
        <v>0.22</v>
      </c>
      <c r="E41" s="8" t="s">
        <v>15</v>
      </c>
      <c r="F41" s="8" t="s">
        <v>135</v>
      </c>
      <c r="G41" s="5" t="n">
        <v>1</v>
      </c>
    </row>
    <row r="42" s="4" customFormat="true" ht="24.05" hidden="false" customHeight="false" outlineLevel="0" collapsed="false">
      <c r="A42" s="7" t="s">
        <v>141</v>
      </c>
      <c r="B42" s="7" t="s">
        <v>142</v>
      </c>
      <c r="C42" s="4" t="n">
        <f aca="false">B1*G42</f>
        <v>35</v>
      </c>
      <c r="D42" s="4" t="n">
        <v>0</v>
      </c>
      <c r="E42" s="7" t="s">
        <v>15</v>
      </c>
      <c r="F42" s="7" t="s">
        <v>135</v>
      </c>
      <c r="G42" s="4" t="n">
        <v>7</v>
      </c>
    </row>
    <row r="43" s="5" customFormat="true" ht="104.2" hidden="false" customHeight="false" outlineLevel="0" collapsed="false">
      <c r="A43" s="8" t="s">
        <v>143</v>
      </c>
      <c r="B43" s="8" t="s">
        <v>144</v>
      </c>
      <c r="C43" s="5" t="n">
        <f aca="false">B1*G43</f>
        <v>165</v>
      </c>
      <c r="D43" s="8" t="s">
        <v>145</v>
      </c>
      <c r="E43" s="8" t="s">
        <v>15</v>
      </c>
      <c r="F43" s="8" t="s">
        <v>135</v>
      </c>
      <c r="G43" s="5" t="n">
        <v>33</v>
      </c>
    </row>
    <row r="44" s="5" customFormat="true" ht="24.05" hidden="false" customHeight="false" outlineLevel="0" collapsed="false">
      <c r="A44" s="8" t="s">
        <v>146</v>
      </c>
      <c r="B44" s="8" t="s">
        <v>147</v>
      </c>
      <c r="C44" s="5" t="n">
        <f aca="false">B1*G44</f>
        <v>25</v>
      </c>
      <c r="D44" s="8" t="s">
        <v>148</v>
      </c>
      <c r="E44" s="8" t="s">
        <v>15</v>
      </c>
      <c r="F44" s="8" t="s">
        <v>135</v>
      </c>
      <c r="G44" s="5" t="n">
        <v>5</v>
      </c>
    </row>
    <row r="45" s="5" customFormat="true" ht="16.25" hidden="false" customHeight="false" outlineLevel="0" collapsed="false">
      <c r="A45" s="9" t="s">
        <v>149</v>
      </c>
      <c r="B45" s="8" t="s">
        <v>150</v>
      </c>
      <c r="C45" s="5" t="n">
        <f aca="false">B1*G45</f>
        <v>15</v>
      </c>
      <c r="D45" s="5" t="n">
        <v>120</v>
      </c>
      <c r="E45" s="8" t="s">
        <v>15</v>
      </c>
      <c r="F45" s="8" t="s">
        <v>135</v>
      </c>
      <c r="G45" s="5" t="n">
        <v>3</v>
      </c>
    </row>
    <row r="46" s="5" customFormat="true" ht="12.8" hidden="false" customHeight="false" outlineLevel="0" collapsed="false">
      <c r="A46" s="8" t="s">
        <v>151</v>
      </c>
      <c r="B46" s="8" t="s">
        <v>152</v>
      </c>
      <c r="C46" s="5" t="n">
        <f aca="false">B1*G46</f>
        <v>15</v>
      </c>
      <c r="D46" s="8" t="s">
        <v>153</v>
      </c>
      <c r="E46" s="8" t="s">
        <v>15</v>
      </c>
      <c r="F46" s="8" t="s">
        <v>135</v>
      </c>
      <c r="G46" s="5" t="n">
        <v>3</v>
      </c>
    </row>
    <row r="47" s="5" customFormat="true" ht="12.8" hidden="false" customHeight="false" outlineLevel="0" collapsed="false">
      <c r="A47" s="8" t="s">
        <v>154</v>
      </c>
      <c r="B47" s="8" t="s">
        <v>155</v>
      </c>
      <c r="C47" s="5" t="n">
        <f aca="false">B1*G47</f>
        <v>15</v>
      </c>
      <c r="D47" s="8" t="s">
        <v>156</v>
      </c>
      <c r="E47" s="8" t="s">
        <v>15</v>
      </c>
      <c r="F47" s="8" t="s">
        <v>135</v>
      </c>
      <c r="G47" s="5" t="n">
        <v>3</v>
      </c>
    </row>
    <row r="48" s="5" customFormat="true" ht="16.25" hidden="false" customHeight="false" outlineLevel="0" collapsed="false">
      <c r="A48" s="8" t="s">
        <v>157</v>
      </c>
      <c r="B48" s="5" t="s">
        <v>158</v>
      </c>
      <c r="C48" s="5" t="n">
        <f aca="false">B1*G48</f>
        <v>15</v>
      </c>
      <c r="D48" s="8" t="s">
        <v>159</v>
      </c>
      <c r="E48" s="8" t="s">
        <v>15</v>
      </c>
      <c r="F48" s="8" t="s">
        <v>160</v>
      </c>
      <c r="G48" s="5" t="n">
        <v>3</v>
      </c>
    </row>
    <row r="49" s="5" customFormat="true" ht="16.25" hidden="false" customHeight="false" outlineLevel="0" collapsed="false">
      <c r="A49" s="8" t="s">
        <v>161</v>
      </c>
      <c r="B49" s="5" t="s">
        <v>162</v>
      </c>
      <c r="C49" s="5" t="n">
        <f aca="false">B1*G49</f>
        <v>15</v>
      </c>
      <c r="D49" s="8" t="s">
        <v>163</v>
      </c>
      <c r="E49" s="8" t="s">
        <v>15</v>
      </c>
      <c r="F49" s="8" t="s">
        <v>160</v>
      </c>
      <c r="G49" s="5" t="n">
        <v>3</v>
      </c>
    </row>
    <row r="50" s="4" customFormat="true" ht="16.25" hidden="false" customHeight="false" outlineLevel="0" collapsed="false">
      <c r="A50" s="7" t="s">
        <v>164</v>
      </c>
      <c r="B50" s="4" t="s">
        <v>165</v>
      </c>
      <c r="C50" s="4" t="n">
        <f aca="false">B1*G50</f>
        <v>5</v>
      </c>
      <c r="D50" s="7" t="s">
        <v>166</v>
      </c>
      <c r="E50" s="7" t="s">
        <v>15</v>
      </c>
      <c r="F50" s="7" t="s">
        <v>167</v>
      </c>
      <c r="G50" s="4" t="n">
        <v>1</v>
      </c>
    </row>
    <row r="51" s="4" customFormat="true" ht="16.25" hidden="false" customHeight="false" outlineLevel="0" collapsed="false">
      <c r="A51" s="7" t="s">
        <v>168</v>
      </c>
      <c r="B51" s="4" t="s">
        <v>169</v>
      </c>
      <c r="C51" s="4" t="n">
        <f aca="false">B1*G51</f>
        <v>5</v>
      </c>
      <c r="D51" s="7" t="s">
        <v>170</v>
      </c>
      <c r="E51" s="7" t="s">
        <v>15</v>
      </c>
      <c r="F51" s="7" t="s">
        <v>171</v>
      </c>
      <c r="G51" s="4" t="n">
        <v>1</v>
      </c>
    </row>
    <row r="52" s="4" customFormat="true" ht="24.05" hidden="false" customHeight="false" outlineLevel="0" collapsed="false">
      <c r="A52" s="7" t="s">
        <v>172</v>
      </c>
      <c r="B52" s="4" t="s">
        <v>173</v>
      </c>
      <c r="C52" s="4" t="n">
        <f aca="false">B1*G52</f>
        <v>5</v>
      </c>
      <c r="D52" s="7" t="s">
        <v>174</v>
      </c>
      <c r="E52" s="7" t="s">
        <v>15</v>
      </c>
      <c r="F52" s="7" t="s">
        <v>175</v>
      </c>
      <c r="G52" s="4" t="n">
        <v>1</v>
      </c>
    </row>
    <row r="53" s="4" customFormat="true" ht="24.05" hidden="false" customHeight="false" outlineLevel="0" collapsed="false">
      <c r="A53" s="7" t="s">
        <v>176</v>
      </c>
      <c r="B53" s="4" t="s">
        <v>177</v>
      </c>
      <c r="C53" s="4" t="n">
        <f aca="false">B1*G53</f>
        <v>5</v>
      </c>
      <c r="D53" s="7" t="s">
        <v>178</v>
      </c>
      <c r="E53" s="7" t="s">
        <v>15</v>
      </c>
      <c r="F53" s="7" t="s">
        <v>179</v>
      </c>
      <c r="G53" s="4" t="n">
        <v>1</v>
      </c>
    </row>
    <row r="54" s="4" customFormat="true" ht="24.05" hidden="false" customHeight="false" outlineLevel="0" collapsed="false">
      <c r="A54" s="7" t="s">
        <v>180</v>
      </c>
      <c r="B54" s="4" t="s">
        <v>173</v>
      </c>
      <c r="C54" s="4" t="n">
        <f aca="false">B1*G54</f>
        <v>5</v>
      </c>
      <c r="D54" s="7" t="s">
        <v>181</v>
      </c>
      <c r="E54" s="7" t="s">
        <v>15</v>
      </c>
      <c r="F54" s="7" t="s">
        <v>175</v>
      </c>
      <c r="G54" s="4" t="n">
        <v>1</v>
      </c>
    </row>
    <row r="55" s="3" customFormat="true" ht="16.25" hidden="false" customHeight="false" outlineLevel="0" collapsed="false">
      <c r="A55" s="10" t="s">
        <v>182</v>
      </c>
      <c r="B55" s="3" t="s">
        <v>1</v>
      </c>
      <c r="C55" s="3" t="n">
        <f aca="false">B1*G55</f>
        <v>5</v>
      </c>
      <c r="D55" s="10" t="s">
        <v>183</v>
      </c>
      <c r="E55" s="10" t="s">
        <v>15</v>
      </c>
      <c r="F55" s="10" t="s">
        <v>184</v>
      </c>
      <c r="G55" s="3" t="n">
        <v>1</v>
      </c>
    </row>
    <row r="56" s="3" customFormat="true" ht="16.25" hidden="false" customHeight="false" outlineLevel="0" collapsed="false">
      <c r="A56" s="10" t="s">
        <v>185</v>
      </c>
      <c r="B56" s="3" t="s">
        <v>1</v>
      </c>
      <c r="C56" s="3" t="n">
        <f aca="false">B1*G56</f>
        <v>5</v>
      </c>
      <c r="D56" s="10" t="s">
        <v>186</v>
      </c>
      <c r="E56" s="10" t="s">
        <v>15</v>
      </c>
      <c r="F56" s="10" t="s">
        <v>184</v>
      </c>
      <c r="G56" s="3" t="n">
        <v>1</v>
      </c>
    </row>
    <row r="57" s="3" customFormat="true" ht="16.25" hidden="false" customHeight="false" outlineLevel="0" collapsed="false">
      <c r="A57" s="10" t="s">
        <v>187</v>
      </c>
      <c r="B57" s="3" t="s">
        <v>1</v>
      </c>
      <c r="C57" s="3" t="n">
        <f aca="false">B1*G57</f>
        <v>5</v>
      </c>
      <c r="D57" s="10" t="s">
        <v>188</v>
      </c>
      <c r="E57" s="10" t="s">
        <v>15</v>
      </c>
      <c r="F57" s="10" t="s">
        <v>184</v>
      </c>
      <c r="G57" s="3" t="n">
        <v>1</v>
      </c>
    </row>
    <row r="58" s="3" customFormat="true" ht="16.25" hidden="false" customHeight="false" outlineLevel="0" collapsed="false">
      <c r="A58" s="10" t="s">
        <v>189</v>
      </c>
      <c r="B58" s="3" t="s">
        <v>1</v>
      </c>
      <c r="C58" s="3" t="n">
        <f aca="false">B1*G58</f>
        <v>5</v>
      </c>
      <c r="D58" s="10" t="s">
        <v>190</v>
      </c>
      <c r="E58" s="10" t="s">
        <v>15</v>
      </c>
      <c r="F58" s="10" t="s">
        <v>184</v>
      </c>
      <c r="G58" s="3" t="n">
        <v>1</v>
      </c>
    </row>
    <row r="59" s="3" customFormat="true" ht="16.25" hidden="false" customHeight="false" outlineLevel="0" collapsed="false">
      <c r="A59" s="10" t="s">
        <v>191</v>
      </c>
      <c r="B59" s="3" t="s">
        <v>1</v>
      </c>
      <c r="C59" s="3" t="n">
        <f aca="false">B1*G59</f>
        <v>5</v>
      </c>
      <c r="D59" s="10" t="s">
        <v>192</v>
      </c>
      <c r="E59" s="10" t="s">
        <v>15</v>
      </c>
      <c r="F59" s="10" t="s">
        <v>184</v>
      </c>
      <c r="G59" s="3" t="n">
        <v>1</v>
      </c>
    </row>
    <row r="60" s="3" customFormat="true" ht="16.25" hidden="false" customHeight="false" outlineLevel="0" collapsed="false">
      <c r="A60" s="10" t="s">
        <v>193</v>
      </c>
      <c r="B60" s="3" t="s">
        <v>1</v>
      </c>
      <c r="C60" s="3" t="n">
        <f aca="false">B1*G60</f>
        <v>5</v>
      </c>
      <c r="D60" s="10" t="s">
        <v>194</v>
      </c>
      <c r="E60" s="10" t="s">
        <v>15</v>
      </c>
      <c r="F60" s="10" t="s">
        <v>184</v>
      </c>
      <c r="G60" s="3" t="n">
        <v>1</v>
      </c>
    </row>
    <row r="61" s="3" customFormat="true" ht="16.25" hidden="false" customHeight="false" outlineLevel="0" collapsed="false">
      <c r="A61" s="10" t="s">
        <v>195</v>
      </c>
      <c r="B61" s="3" t="s">
        <v>1</v>
      </c>
      <c r="C61" s="3" t="n">
        <f aca="false">B1*G61</f>
        <v>5</v>
      </c>
      <c r="D61" s="10" t="s">
        <v>196</v>
      </c>
      <c r="E61" s="10" t="s">
        <v>15</v>
      </c>
      <c r="F61" s="10" t="s">
        <v>184</v>
      </c>
      <c r="G61" s="3" t="n">
        <v>1</v>
      </c>
    </row>
    <row r="62" s="3" customFormat="true" ht="16.25" hidden="false" customHeight="false" outlineLevel="0" collapsed="false">
      <c r="A62" s="10" t="s">
        <v>197</v>
      </c>
      <c r="B62" s="3" t="s">
        <v>1</v>
      </c>
      <c r="C62" s="3" t="n">
        <f aca="false">B1*G62</f>
        <v>5</v>
      </c>
      <c r="D62" s="10" t="s">
        <v>198</v>
      </c>
      <c r="E62" s="10" t="s">
        <v>15</v>
      </c>
      <c r="F62" s="10" t="s">
        <v>184</v>
      </c>
      <c r="G62" s="3" t="n">
        <v>1</v>
      </c>
    </row>
    <row r="63" s="3" customFormat="true" ht="16.25" hidden="false" customHeight="false" outlineLevel="0" collapsed="false">
      <c r="A63" s="10" t="s">
        <v>199</v>
      </c>
      <c r="B63" s="3" t="s">
        <v>1</v>
      </c>
      <c r="C63" s="3" t="n">
        <f aca="false">B1*G63</f>
        <v>5</v>
      </c>
      <c r="D63" s="10" t="s">
        <v>200</v>
      </c>
      <c r="E63" s="10" t="s">
        <v>15</v>
      </c>
      <c r="F63" s="10" t="s">
        <v>184</v>
      </c>
      <c r="G63" s="3" t="n">
        <v>1</v>
      </c>
    </row>
    <row r="64" s="3" customFormat="true" ht="16.25" hidden="false" customHeight="false" outlineLevel="0" collapsed="false">
      <c r="A64" s="10" t="s">
        <v>201</v>
      </c>
      <c r="B64" s="3" t="s">
        <v>1</v>
      </c>
      <c r="C64" s="3" t="n">
        <f aca="false">B1*G64</f>
        <v>5</v>
      </c>
      <c r="D64" s="10" t="s">
        <v>202</v>
      </c>
      <c r="E64" s="10" t="s">
        <v>15</v>
      </c>
      <c r="F64" s="10" t="s">
        <v>184</v>
      </c>
      <c r="G64" s="3" t="n">
        <v>1</v>
      </c>
    </row>
    <row r="65" s="3" customFormat="true" ht="16.25" hidden="false" customHeight="false" outlineLevel="0" collapsed="false">
      <c r="A65" s="10" t="s">
        <v>203</v>
      </c>
      <c r="B65" s="3" t="s">
        <v>1</v>
      </c>
      <c r="C65" s="11" t="n">
        <f aca="false">B1*G65</f>
        <v>5</v>
      </c>
      <c r="D65" s="10" t="s">
        <v>204</v>
      </c>
      <c r="E65" s="10" t="s">
        <v>15</v>
      </c>
      <c r="F65" s="10" t="s">
        <v>184</v>
      </c>
      <c r="G65" s="3" t="n">
        <v>1</v>
      </c>
    </row>
    <row r="66" s="5" customFormat="true" ht="82.05" hidden="false" customHeight="false" outlineLevel="0" collapsed="false">
      <c r="A66" s="8" t="s">
        <v>205</v>
      </c>
      <c r="B66" s="5" t="s">
        <v>206</v>
      </c>
      <c r="C66" s="5" t="n">
        <f aca="false">B1*G66</f>
        <v>5</v>
      </c>
      <c r="D66" s="8" t="s">
        <v>207</v>
      </c>
      <c r="E66" s="8" t="s">
        <v>208</v>
      </c>
      <c r="F66" s="8" t="s">
        <v>209</v>
      </c>
      <c r="G66" s="5" t="n">
        <v>1</v>
      </c>
    </row>
    <row r="67" s="5" customFormat="true" ht="82.05" hidden="false" customHeight="false" outlineLevel="0" collapsed="false">
      <c r="A67" s="8" t="s">
        <v>210</v>
      </c>
      <c r="B67" s="5" t="s">
        <v>211</v>
      </c>
      <c r="C67" s="5" t="n">
        <f aca="false">B1*G67</f>
        <v>5</v>
      </c>
      <c r="D67" s="8" t="s">
        <v>212</v>
      </c>
      <c r="E67" s="8" t="s">
        <v>213</v>
      </c>
      <c r="F67" s="8" t="s">
        <v>214</v>
      </c>
      <c r="G67" s="5" t="n">
        <v>1</v>
      </c>
    </row>
    <row r="68" s="5" customFormat="true" ht="92.75" hidden="false" customHeight="false" outlineLevel="0" collapsed="false">
      <c r="A68" s="8" t="s">
        <v>215</v>
      </c>
      <c r="B68" s="5" t="s">
        <v>216</v>
      </c>
      <c r="C68" s="5" t="n">
        <f aca="false">B1*G68</f>
        <v>5</v>
      </c>
      <c r="D68" s="8" t="s">
        <v>217</v>
      </c>
      <c r="E68" s="8" t="s">
        <v>218</v>
      </c>
      <c r="F68" s="8" t="s">
        <v>219</v>
      </c>
      <c r="G68" s="5" t="n">
        <v>1</v>
      </c>
    </row>
    <row r="69" s="5" customFormat="true" ht="58.7" hidden="false" customHeight="false" outlineLevel="0" collapsed="false">
      <c r="A69" s="8" t="s">
        <v>220</v>
      </c>
      <c r="B69" s="5" t="s">
        <v>221</v>
      </c>
      <c r="C69" s="5" t="n">
        <f aca="false">B1*G69</f>
        <v>5</v>
      </c>
      <c r="D69" s="8" t="s">
        <v>222</v>
      </c>
      <c r="E69" s="8" t="s">
        <v>223</v>
      </c>
      <c r="F69" s="8" t="s">
        <v>224</v>
      </c>
      <c r="G69" s="5" t="n">
        <v>1</v>
      </c>
    </row>
    <row r="70" s="4" customFormat="true" ht="70" hidden="false" customHeight="false" outlineLevel="0" collapsed="false">
      <c r="A70" s="7" t="s">
        <v>225</v>
      </c>
      <c r="B70" s="4" t="s">
        <v>226</v>
      </c>
      <c r="C70" s="4" t="n">
        <f aca="false">B1*G70</f>
        <v>5</v>
      </c>
      <c r="D70" s="7" t="s">
        <v>227</v>
      </c>
      <c r="E70" s="7" t="s">
        <v>228</v>
      </c>
      <c r="F70" s="7" t="s">
        <v>224</v>
      </c>
      <c r="G70" s="4" t="n">
        <v>1</v>
      </c>
    </row>
    <row r="71" s="5" customFormat="true" ht="138.55" hidden="false" customHeight="false" outlineLevel="0" collapsed="false">
      <c r="A71" s="8" t="s">
        <v>229</v>
      </c>
      <c r="B71" s="5" t="s">
        <v>230</v>
      </c>
      <c r="C71" s="5" t="n">
        <f aca="false">B1*G71</f>
        <v>5</v>
      </c>
      <c r="D71" s="8" t="s">
        <v>231</v>
      </c>
      <c r="E71" s="8" t="s">
        <v>232</v>
      </c>
      <c r="F71" s="8" t="s">
        <v>209</v>
      </c>
      <c r="G71" s="5" t="n">
        <v>1</v>
      </c>
    </row>
    <row r="72" s="4" customFormat="true" ht="58.4" hidden="false" customHeight="false" outlineLevel="0" collapsed="false">
      <c r="A72" s="7" t="s">
        <v>233</v>
      </c>
      <c r="B72" s="4" t="s">
        <v>234</v>
      </c>
      <c r="C72" s="4" t="n">
        <f aca="false">B1*G72</f>
        <v>5</v>
      </c>
      <c r="D72" s="7" t="s">
        <v>235</v>
      </c>
      <c r="E72" s="7" t="s">
        <v>236</v>
      </c>
      <c r="F72" s="7" t="s">
        <v>237</v>
      </c>
      <c r="G72" s="4" t="n">
        <v>1</v>
      </c>
    </row>
    <row r="73" s="4" customFormat="true" ht="104.2" hidden="false" customHeight="false" outlineLevel="0" collapsed="false">
      <c r="A73" s="7" t="s">
        <v>238</v>
      </c>
      <c r="B73" s="4" t="s">
        <v>239</v>
      </c>
      <c r="C73" s="4" t="n">
        <f aca="false">B1*G73</f>
        <v>5</v>
      </c>
      <c r="D73" s="7" t="s">
        <v>240</v>
      </c>
      <c r="E73" s="7" t="s">
        <v>241</v>
      </c>
      <c r="F73" s="7" t="s">
        <v>242</v>
      </c>
      <c r="G73" s="4" t="n">
        <v>1</v>
      </c>
    </row>
    <row r="74" s="4" customFormat="true" ht="47.4" hidden="false" customHeight="false" outlineLevel="0" collapsed="false">
      <c r="A74" s="7" t="s">
        <v>243</v>
      </c>
      <c r="B74" s="4" t="s">
        <v>244</v>
      </c>
      <c r="C74" s="4" t="n">
        <f aca="false">B1*G74</f>
        <v>5</v>
      </c>
      <c r="D74" s="7" t="s">
        <v>245</v>
      </c>
      <c r="E74" s="7" t="s">
        <v>246</v>
      </c>
      <c r="F74" s="7" t="s">
        <v>247</v>
      </c>
      <c r="G74" s="4" t="n">
        <v>1</v>
      </c>
    </row>
    <row r="75" s="5" customFormat="true" ht="70" hidden="false" customHeight="false" outlineLevel="0" collapsed="false">
      <c r="A75" s="8" t="s">
        <v>248</v>
      </c>
      <c r="B75" s="5" t="s">
        <v>249</v>
      </c>
      <c r="C75" s="5" t="n">
        <f aca="false">B1*G75</f>
        <v>5</v>
      </c>
      <c r="D75" s="8" t="s">
        <v>250</v>
      </c>
      <c r="E75" s="8" t="s">
        <v>251</v>
      </c>
      <c r="F75" s="8" t="s">
        <v>209</v>
      </c>
      <c r="G75" s="5" t="n">
        <v>1</v>
      </c>
    </row>
    <row r="76" s="4" customFormat="true" ht="69.85" hidden="false" customHeight="false" outlineLevel="0" collapsed="false">
      <c r="A76" s="7" t="s">
        <v>252</v>
      </c>
      <c r="B76" s="4" t="s">
        <v>253</v>
      </c>
      <c r="C76" s="4" t="n">
        <f aca="false">B1*G76</f>
        <v>5</v>
      </c>
      <c r="D76" s="7" t="s">
        <v>254</v>
      </c>
      <c r="E76" s="7" t="s">
        <v>255</v>
      </c>
      <c r="F76" s="7" t="s">
        <v>256</v>
      </c>
      <c r="G76" s="4" t="n">
        <v>1</v>
      </c>
    </row>
    <row r="77" s="4" customFormat="true" ht="69.85" hidden="false" customHeight="false" outlineLevel="0" collapsed="false">
      <c r="A77" s="7" t="s">
        <v>257</v>
      </c>
      <c r="B77" s="4" t="s">
        <v>258</v>
      </c>
      <c r="C77" s="4" t="n">
        <f aca="false">B1*G77</f>
        <v>5</v>
      </c>
      <c r="D77" s="7" t="s">
        <v>259</v>
      </c>
      <c r="E77" s="7" t="s">
        <v>260</v>
      </c>
      <c r="F77" s="7" t="s">
        <v>261</v>
      </c>
      <c r="G77" s="4" t="n">
        <v>1</v>
      </c>
    </row>
    <row r="78" s="4" customFormat="true" ht="104.65" hidden="false" customHeight="false" outlineLevel="0" collapsed="false">
      <c r="A78" s="7" t="s">
        <v>262</v>
      </c>
      <c r="B78" s="4" t="s">
        <v>263</v>
      </c>
      <c r="C78" s="4" t="n">
        <f aca="false">B1*G78</f>
        <v>45</v>
      </c>
      <c r="D78" s="7" t="s">
        <v>264</v>
      </c>
      <c r="E78" s="7" t="s">
        <v>265</v>
      </c>
      <c r="F78" s="7" t="s">
        <v>266</v>
      </c>
      <c r="G78" s="4" t="n">
        <v>9</v>
      </c>
    </row>
    <row r="79" s="5" customFormat="true" ht="70" hidden="false" customHeight="false" outlineLevel="0" collapsed="false">
      <c r="A79" s="8" t="s">
        <v>267</v>
      </c>
      <c r="B79" s="5" t="s">
        <v>268</v>
      </c>
      <c r="C79" s="5" t="n">
        <f aca="false">B1*G79</f>
        <v>5</v>
      </c>
      <c r="D79" s="8" t="s">
        <v>269</v>
      </c>
      <c r="E79" s="8" t="s">
        <v>270</v>
      </c>
      <c r="F79" s="8" t="s">
        <v>271</v>
      </c>
      <c r="G79" s="5" t="n">
        <v>1</v>
      </c>
    </row>
    <row r="80" s="4" customFormat="true" ht="58.4" hidden="false" customHeight="false" outlineLevel="0" collapsed="false">
      <c r="A80" s="7" t="s">
        <v>272</v>
      </c>
      <c r="B80" s="4" t="s">
        <v>273</v>
      </c>
      <c r="C80" s="4" t="n">
        <f aca="false">B1*G80</f>
        <v>5</v>
      </c>
      <c r="D80" s="7" t="s">
        <v>274</v>
      </c>
      <c r="E80" s="7" t="s">
        <v>275</v>
      </c>
      <c r="F80" s="7" t="s">
        <v>276</v>
      </c>
      <c r="G80" s="4" t="n">
        <v>1</v>
      </c>
    </row>
    <row r="81" s="4" customFormat="true" ht="58.4" hidden="false" customHeight="false" outlineLevel="0" collapsed="false">
      <c r="A81" s="7" t="s">
        <v>277</v>
      </c>
      <c r="B81" s="4" t="s">
        <v>278</v>
      </c>
      <c r="C81" s="4" t="n">
        <f aca="false">B1*G81</f>
        <v>5</v>
      </c>
      <c r="D81" s="7" t="s">
        <v>279</v>
      </c>
      <c r="E81" s="7" t="s">
        <v>280</v>
      </c>
      <c r="F81" s="7" t="s">
        <v>281</v>
      </c>
      <c r="G81" s="4" t="n">
        <v>1</v>
      </c>
    </row>
    <row r="82" s="4" customFormat="true" ht="12.8" hidden="false" customHeight="false" outlineLevel="0" collapsed="false">
      <c r="A82" s="7" t="s">
        <v>282</v>
      </c>
      <c r="B82" s="7" t="s">
        <v>283</v>
      </c>
      <c r="C82" s="4" t="n">
        <f aca="false">B1*G82</f>
        <v>10</v>
      </c>
      <c r="D82" s="7" t="s">
        <v>284</v>
      </c>
      <c r="E82" s="7" t="s">
        <v>15</v>
      </c>
      <c r="F82" s="7" t="s">
        <v>285</v>
      </c>
      <c r="G82" s="4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896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2024-07-08T00:16:03Z</dcterms:modified>
  <cp:revision>100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